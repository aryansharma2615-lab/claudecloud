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OM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4" authorId="0">
      <text>
        <r>
          <rPr>
            <sz val="10"/>
            <rFont val="Arial"/>
            <family val="2"/>
          </rPr>
          <t xml:space="preserve">Source: Digitmakers.ca PETG 1 kg listing, $25 / kg (checked 2026-09-13)</t>
        </r>
      </text>
    </comment>
    <comment ref="B5" authorId="0">
      <text>
        <r>
          <rPr>
            <sz val="10"/>
            <rFont val="Arial"/>
            <family val="2"/>
          </rPr>
          <t xml:space="preserve">SP machine rate used by every SP AV (electricity + wear)</t>
        </r>
      </text>
    </comment>
  </commentList>
</comments>
</file>

<file path=xl/sharedStrings.xml><?xml version="1.0" encoding="utf-8"?>
<sst xmlns="http://schemas.openxmlformats.org/spreadsheetml/2006/main" count="90" uniqueCount="51">
  <si>
    <t xml:space="preserve">Shawarma Servo Mount v1 — BOM (AV v8)</t>
  </si>
  <si>
    <t xml:space="preserve">Blue = input you can edit. Status OWNED = on the SP shelf: unit #1 costs $0, bulk columns stay priced for product maths.</t>
  </si>
  <si>
    <t xml:space="preserve">PETG $/g</t>
  </si>
  <si>
    <t xml:space="preserve">Machine $/h</t>
  </si>
  <si>
    <t xml:space="preserve">Part</t>
  </si>
  <si>
    <t xml:space="preserve">Kind</t>
  </si>
  <si>
    <t xml:space="preserve">Qty</t>
  </si>
  <si>
    <t xml:space="preserve">Status</t>
  </si>
  <si>
    <t xml:space="preserve">Grams (SLICER)</t>
  </si>
  <si>
    <t xml:space="preserve">Print min (SLICER)</t>
  </si>
  <si>
    <t xml:space="preserve">Each (CAD $)</t>
  </si>
  <si>
    <t xml:space="preserve">Unit #1 out of pocket</t>
  </si>
  <si>
    <t xml:space="preserve">×10 each</t>
  </si>
  <si>
    <t xml:space="preserve">×50 each</t>
  </si>
  <si>
    <t xml:space="preserve">×100 each</t>
  </si>
  <si>
    <t xml:space="preserve">Line ×100</t>
  </si>
  <si>
    <t xml:space="preserve">Supplier</t>
  </si>
  <si>
    <t xml:space="preserve">Link</t>
  </si>
  <si>
    <t xml:space="preserve">Source / formula</t>
  </si>
  <si>
    <t xml:space="preserve">Servo cradle</t>
  </si>
  <si>
    <t xml:space="preserve">printed</t>
  </si>
  <si>
    <t xml:space="preserve">PRINT</t>
  </si>
  <si>
    <t xml:space="preserve">Digitmakers.ca PETG</t>
  </si>
  <si>
    <t xml:space="preserve">https://www.digitmakers.ca/collections/petg-1-75-mm</t>
  </si>
  <si>
    <t xml:space="preserve">PrusaSlicer 2.7.2 CLI · Ender-3 S1 Pro profile · grams × $/g + minutes × $/h</t>
  </si>
  <si>
    <t xml:space="preserve">M3×5.7 heat-set insert</t>
  </si>
  <si>
    <t xml:space="preserve">bought</t>
  </si>
  <si>
    <t xml:space="preserve">OWNED</t>
  </si>
  <si>
    <t xml:space="preserve">Amazon.ca (ruthex RX-M3×5.7)</t>
  </si>
  <si>
    <t xml:space="preserve">https://www.amazon.ca/s?k=ruthex+m3+heat+set+inserts</t>
  </si>
  <si>
    <t xml:space="preserve">ruthex 100-pack ÷ 100</t>
  </si>
  <si>
    <t xml:space="preserve">Base plate</t>
  </si>
  <si>
    <t xml:space="preserve">M3×8 socket head</t>
  </si>
  <si>
    <t xml:space="preserve">screw</t>
  </si>
  <si>
    <t xml:space="preserve">Amazon.ca (M3 kit)</t>
  </si>
  <si>
    <t xml:space="preserve">https://www.amazon.ca/s?k=m3+socket+head+screw+assortment+kit</t>
  </si>
  <si>
    <t xml:space="preserve">kit ÷ count</t>
  </si>
  <si>
    <t xml:space="preserve">SG90 micro servo</t>
  </si>
  <si>
    <t xml:space="preserve">Canada Robotix</t>
  </si>
  <si>
    <t xml:space="preserve">https://www.canadarobotix.com/products/1713</t>
  </si>
  <si>
    <t xml:space="preserve">$4.49 single (listed). Bulk = 10-packs, estimated.</t>
  </si>
  <si>
    <t xml:space="preserve">M2×8 self-tapper</t>
  </si>
  <si>
    <t xml:space="preserve">in the servo bag</t>
  </si>
  <si>
    <t xml:space="preserve">ships with each SG90</t>
  </si>
  <si>
    <t xml:space="preserve">SG90 single horn</t>
  </si>
  <si>
    <t xml:space="preserve">Load arm</t>
  </si>
  <si>
    <t xml:space="preserve">M2×8 horn screw</t>
  </si>
  <si>
    <t xml:space="preserve">Amazon.ca (M2 kit)</t>
  </si>
  <si>
    <t xml:space="preserve">https://www.amazon.ca/s?k=m2+self+tapping+screw+assortment</t>
  </si>
  <si>
    <t xml:space="preserve">Total</t>
  </si>
  <si>
    <t xml:space="preserve">unit #1 = filament + time only (all hardware owned)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</si>
</sst>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\$#,##0.00;&quot;($&quot;#,##0.00\);\-"/>
    <numFmt numFmtId="166" formatCode="\$#,##0.0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i val="true"/>
      <sz val="9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6B35"/>
        <bgColor rgb="FFFF808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B35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7" topLeftCell="B8" activePane="bottomRight" state="frozen"/>
      <selection pane="topLeft" activeCell="A1" activeCellId="0" sqref="A1"/>
      <selection pane="topRight" activeCell="B1" activeCellId="0" sqref="B1"/>
      <selection pane="bottomLeft" activeCell="A8" activeCellId="0" sqref="A8"/>
      <selection pane="bottomRigh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9"/>
    <col collapsed="false" customWidth="true" hidden="false" outlineLevel="0" max="3" min="3" style="0" width="5"/>
    <col collapsed="false" customWidth="true" hidden="false" outlineLevel="0" max="4" min="4" style="0" width="9"/>
    <col collapsed="false" customWidth="true" hidden="false" outlineLevel="0" max="7" min="5" style="0" width="10"/>
    <col collapsed="false" customWidth="true" hidden="false" outlineLevel="0" max="8" min="8" style="0" width="12"/>
    <col collapsed="false" customWidth="true" hidden="false" outlineLevel="0" max="11" min="9" style="0" width="9"/>
    <col collapsed="false" customWidth="true" hidden="false" outlineLevel="0" max="12" min="12" style="0" width="10"/>
    <col collapsed="false" customWidth="true" hidden="false" outlineLevel="0" max="13" min="13" style="0" width="26"/>
    <col collapsed="false" customWidth="true" hidden="false" outlineLevel="0" max="14" min="14" style="0" width="44"/>
    <col collapsed="false" customWidth="true" hidden="false" outlineLevel="0" max="15" min="15" style="0" width="60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0" t="s">
        <v>2</v>
      </c>
      <c r="B4" s="3" t="n">
        <v>0.025</v>
      </c>
    </row>
    <row r="5" customFormat="false" ht="15" hidden="false" customHeight="false" outlineLevel="0" collapsed="false">
      <c r="A5" s="0" t="s">
        <v>3</v>
      </c>
      <c r="B5" s="3" t="n">
        <v>0.35</v>
      </c>
    </row>
    <row r="7" customFormat="false" ht="26.85" hidden="false" customHeight="false" outlineLevel="0" collapsed="false">
      <c r="A7" s="4" t="s">
        <v>4</v>
      </c>
      <c r="B7" s="4" t="s">
        <v>5</v>
      </c>
      <c r="C7" s="4" t="s">
        <v>6</v>
      </c>
      <c r="D7" s="4" t="s">
        <v>7</v>
      </c>
      <c r="E7" s="4" t="s">
        <v>8</v>
      </c>
      <c r="F7" s="4" t="s">
        <v>9</v>
      </c>
      <c r="G7" s="4" t="s">
        <v>10</v>
      </c>
      <c r="H7" s="4" t="s">
        <v>11</v>
      </c>
      <c r="I7" s="4" t="s">
        <v>12</v>
      </c>
      <c r="J7" s="4" t="s">
        <v>13</v>
      </c>
      <c r="K7" s="4" t="s">
        <v>14</v>
      </c>
      <c r="L7" s="4" t="s">
        <v>15</v>
      </c>
      <c r="M7" s="4" t="s">
        <v>16</v>
      </c>
      <c r="N7" s="4" t="s">
        <v>17</v>
      </c>
      <c r="O7" s="4" t="s">
        <v>18</v>
      </c>
    </row>
    <row r="8" customFormat="false" ht="15" hidden="false" customHeight="false" outlineLevel="0" collapsed="false">
      <c r="A8" s="0" t="s">
        <v>19</v>
      </c>
      <c r="B8" s="0" t="s">
        <v>20</v>
      </c>
      <c r="C8" s="3" t="n">
        <v>1</v>
      </c>
      <c r="D8" s="5" t="s">
        <v>21</v>
      </c>
      <c r="E8" s="3" t="n">
        <v>16.54</v>
      </c>
      <c r="F8" s="3" t="n">
        <v>128.9</v>
      </c>
      <c r="G8" s="6" t="n">
        <f aca="false">E8*$B$4+F8/60*$B$5</f>
        <v>1.16541666666667</v>
      </c>
      <c r="H8" s="6" t="n">
        <f aca="false">G8*C8</f>
        <v>1.16541666666667</v>
      </c>
      <c r="I8" s="6" t="n">
        <f aca="false">G8</f>
        <v>1.16541666666667</v>
      </c>
      <c r="J8" s="6" t="n">
        <f aca="false">G8</f>
        <v>1.16541666666667</v>
      </c>
      <c r="K8" s="6" t="n">
        <f aca="false">G8</f>
        <v>1.16541666666667</v>
      </c>
      <c r="L8" s="6" t="n">
        <f aca="false">K8*C8</f>
        <v>1.16541666666667</v>
      </c>
      <c r="M8" s="5" t="s">
        <v>22</v>
      </c>
      <c r="N8" s="5" t="s">
        <v>23</v>
      </c>
      <c r="O8" s="5" t="s">
        <v>24</v>
      </c>
    </row>
    <row r="9" customFormat="false" ht="15" hidden="false" customHeight="false" outlineLevel="0" collapsed="false">
      <c r="A9" s="0" t="s">
        <v>25</v>
      </c>
      <c r="B9" s="0" t="s">
        <v>26</v>
      </c>
      <c r="C9" s="3" t="n">
        <v>1</v>
      </c>
      <c r="D9" s="5" t="s">
        <v>27</v>
      </c>
      <c r="G9" s="7" t="n">
        <v>0.12</v>
      </c>
      <c r="H9" s="6" t="n">
        <f aca="false">IF(D9="OWNED",0,G9*C9)</f>
        <v>0</v>
      </c>
      <c r="I9" s="7" t="n">
        <v>0.12</v>
      </c>
      <c r="J9" s="7" t="n">
        <v>0.1</v>
      </c>
      <c r="K9" s="7" t="n">
        <v>0.09</v>
      </c>
      <c r="L9" s="6" t="n">
        <f aca="false">K9*C9</f>
        <v>0.09</v>
      </c>
      <c r="M9" s="5" t="s">
        <v>28</v>
      </c>
      <c r="N9" s="5" t="s">
        <v>29</v>
      </c>
      <c r="O9" s="5" t="s">
        <v>30</v>
      </c>
    </row>
    <row r="10" customFormat="false" ht="15" hidden="false" customHeight="false" outlineLevel="0" collapsed="false">
      <c r="A10" s="0" t="s">
        <v>25</v>
      </c>
      <c r="B10" s="0" t="s">
        <v>26</v>
      </c>
      <c r="C10" s="3" t="n">
        <v>1</v>
      </c>
      <c r="D10" s="5" t="s">
        <v>27</v>
      </c>
      <c r="G10" s="7" t="n">
        <v>0.12</v>
      </c>
      <c r="H10" s="6" t="n">
        <f aca="false">IF(D10="OWNED",0,G10*C10)</f>
        <v>0</v>
      </c>
      <c r="I10" s="7" t="n">
        <v>0.12</v>
      </c>
      <c r="J10" s="7" t="n">
        <v>0.1</v>
      </c>
      <c r="K10" s="7" t="n">
        <v>0.09</v>
      </c>
      <c r="L10" s="6" t="n">
        <f aca="false">K10*C10</f>
        <v>0.09</v>
      </c>
      <c r="M10" s="5" t="s">
        <v>28</v>
      </c>
      <c r="N10" s="5" t="s">
        <v>29</v>
      </c>
      <c r="O10" s="5" t="s">
        <v>30</v>
      </c>
    </row>
    <row r="11" customFormat="false" ht="15" hidden="false" customHeight="false" outlineLevel="0" collapsed="false">
      <c r="A11" s="0" t="s">
        <v>31</v>
      </c>
      <c r="B11" s="0" t="s">
        <v>20</v>
      </c>
      <c r="C11" s="3" t="n">
        <v>1</v>
      </c>
      <c r="D11" s="5" t="s">
        <v>21</v>
      </c>
      <c r="E11" s="3" t="n">
        <v>16.54</v>
      </c>
      <c r="F11" s="3" t="n">
        <v>95.1</v>
      </c>
      <c r="G11" s="6" t="n">
        <f aca="false">E11*$B$4+F11/60*$B$5</f>
        <v>0.96825</v>
      </c>
      <c r="H11" s="6" t="n">
        <f aca="false">G11*C11</f>
        <v>0.96825</v>
      </c>
      <c r="I11" s="6" t="n">
        <f aca="false">G11</f>
        <v>0.96825</v>
      </c>
      <c r="J11" s="6" t="n">
        <f aca="false">G11</f>
        <v>0.96825</v>
      </c>
      <c r="K11" s="6" t="n">
        <f aca="false">G11</f>
        <v>0.96825</v>
      </c>
      <c r="L11" s="6" t="n">
        <f aca="false">K11*C11</f>
        <v>0.96825</v>
      </c>
      <c r="M11" s="5" t="s">
        <v>22</v>
      </c>
      <c r="N11" s="5" t="s">
        <v>23</v>
      </c>
      <c r="O11" s="5" t="s">
        <v>24</v>
      </c>
    </row>
    <row r="12" customFormat="false" ht="15" hidden="false" customHeight="false" outlineLevel="0" collapsed="false">
      <c r="A12" s="0" t="s">
        <v>32</v>
      </c>
      <c r="B12" s="0" t="s">
        <v>33</v>
      </c>
      <c r="C12" s="3" t="n">
        <v>1</v>
      </c>
      <c r="D12" s="5" t="s">
        <v>27</v>
      </c>
      <c r="G12" s="7" t="n">
        <v>0.05</v>
      </c>
      <c r="H12" s="6" t="n">
        <f aca="false">IF(D12="OWNED",0,G12*C12)</f>
        <v>0</v>
      </c>
      <c r="I12" s="7" t="n">
        <v>0.05</v>
      </c>
      <c r="J12" s="7" t="n">
        <v>0.04</v>
      </c>
      <c r="K12" s="7" t="n">
        <v>0.03</v>
      </c>
      <c r="L12" s="6" t="n">
        <f aca="false">K12*C12</f>
        <v>0.03</v>
      </c>
      <c r="M12" s="5" t="s">
        <v>34</v>
      </c>
      <c r="N12" s="5" t="s">
        <v>35</v>
      </c>
      <c r="O12" s="5" t="s">
        <v>36</v>
      </c>
    </row>
    <row r="13" customFormat="false" ht="15" hidden="false" customHeight="false" outlineLevel="0" collapsed="false">
      <c r="A13" s="0" t="s">
        <v>32</v>
      </c>
      <c r="B13" s="0" t="s">
        <v>33</v>
      </c>
      <c r="C13" s="3" t="n">
        <v>1</v>
      </c>
      <c r="D13" s="5" t="s">
        <v>27</v>
      </c>
      <c r="G13" s="7" t="n">
        <v>0.05</v>
      </c>
      <c r="H13" s="6" t="n">
        <f aca="false">IF(D13="OWNED",0,G13*C13)</f>
        <v>0</v>
      </c>
      <c r="I13" s="7" t="n">
        <v>0.05</v>
      </c>
      <c r="J13" s="7" t="n">
        <v>0.04</v>
      </c>
      <c r="K13" s="7" t="n">
        <v>0.03</v>
      </c>
      <c r="L13" s="6" t="n">
        <f aca="false">K13*C13</f>
        <v>0.03</v>
      </c>
      <c r="M13" s="5" t="s">
        <v>34</v>
      </c>
      <c r="N13" s="5" t="s">
        <v>35</v>
      </c>
      <c r="O13" s="5" t="s">
        <v>36</v>
      </c>
    </row>
    <row r="14" customFormat="false" ht="15" hidden="false" customHeight="false" outlineLevel="0" collapsed="false">
      <c r="A14" s="0" t="s">
        <v>37</v>
      </c>
      <c r="B14" s="0" t="s">
        <v>26</v>
      </c>
      <c r="C14" s="3" t="n">
        <v>1</v>
      </c>
      <c r="D14" s="5" t="s">
        <v>27</v>
      </c>
      <c r="G14" s="7" t="n">
        <v>4.49</v>
      </c>
      <c r="H14" s="6" t="n">
        <f aca="false">IF(D14="OWNED",0,G14*C14)</f>
        <v>0</v>
      </c>
      <c r="I14" s="7" t="n">
        <v>2.4</v>
      </c>
      <c r="J14" s="7" t="n">
        <v>2.1</v>
      </c>
      <c r="K14" s="7" t="n">
        <v>1.9</v>
      </c>
      <c r="L14" s="6" t="n">
        <f aca="false">K14*C14</f>
        <v>1.9</v>
      </c>
      <c r="M14" s="5" t="s">
        <v>38</v>
      </c>
      <c r="N14" s="5" t="s">
        <v>39</v>
      </c>
      <c r="O14" s="5" t="s">
        <v>40</v>
      </c>
    </row>
    <row r="15" customFormat="false" ht="15" hidden="false" customHeight="false" outlineLevel="0" collapsed="false">
      <c r="A15" s="0" t="s">
        <v>41</v>
      </c>
      <c r="B15" s="0" t="s">
        <v>33</v>
      </c>
      <c r="C15" s="3" t="n">
        <v>1</v>
      </c>
      <c r="D15" s="5" t="s">
        <v>27</v>
      </c>
      <c r="G15" s="7" t="n">
        <v>0</v>
      </c>
      <c r="H15" s="6" t="n">
        <f aca="false">IF(D15="OWNED",0,G15*C15)</f>
        <v>0</v>
      </c>
      <c r="I15" s="7" t="n">
        <v>0.04</v>
      </c>
      <c r="J15" s="7" t="n">
        <v>0.03</v>
      </c>
      <c r="K15" s="7" t="n">
        <v>0.02</v>
      </c>
      <c r="L15" s="6" t="n">
        <f aca="false">K15*C15</f>
        <v>0.02</v>
      </c>
      <c r="M15" s="5" t="s">
        <v>42</v>
      </c>
      <c r="O15" s="5" t="s">
        <v>43</v>
      </c>
    </row>
    <row r="16" customFormat="false" ht="15" hidden="false" customHeight="false" outlineLevel="0" collapsed="false">
      <c r="A16" s="0" t="s">
        <v>41</v>
      </c>
      <c r="B16" s="0" t="s">
        <v>33</v>
      </c>
      <c r="C16" s="3" t="n">
        <v>1</v>
      </c>
      <c r="D16" s="5" t="s">
        <v>27</v>
      </c>
      <c r="G16" s="7" t="n">
        <v>0</v>
      </c>
      <c r="H16" s="6" t="n">
        <f aca="false">IF(D16="OWNED",0,G16*C16)</f>
        <v>0</v>
      </c>
      <c r="I16" s="7" t="n">
        <v>0.04</v>
      </c>
      <c r="J16" s="7" t="n">
        <v>0.03</v>
      </c>
      <c r="K16" s="7" t="n">
        <v>0.02</v>
      </c>
      <c r="L16" s="6" t="n">
        <f aca="false">K16*C16</f>
        <v>0.02</v>
      </c>
      <c r="M16" s="5" t="s">
        <v>42</v>
      </c>
      <c r="O16" s="5" t="s">
        <v>43</v>
      </c>
    </row>
    <row r="17" customFormat="false" ht="15" hidden="false" customHeight="false" outlineLevel="0" collapsed="false">
      <c r="A17" s="0" t="s">
        <v>44</v>
      </c>
      <c r="B17" s="0" t="s">
        <v>26</v>
      </c>
      <c r="C17" s="3" t="n">
        <v>1</v>
      </c>
      <c r="D17" s="5" t="s">
        <v>27</v>
      </c>
      <c r="G17" s="7" t="n">
        <v>0</v>
      </c>
      <c r="H17" s="6" t="n">
        <f aca="false">IF(D17="OWNED",0,G17*C17)</f>
        <v>0</v>
      </c>
      <c r="I17" s="7" t="n">
        <v>0</v>
      </c>
      <c r="J17" s="7" t="n">
        <v>0</v>
      </c>
      <c r="K17" s="7" t="n">
        <v>0</v>
      </c>
      <c r="L17" s="6" t="n">
        <f aca="false">K17*C17</f>
        <v>0</v>
      </c>
      <c r="M17" s="5" t="s">
        <v>42</v>
      </c>
      <c r="O17" s="5" t="s">
        <v>43</v>
      </c>
    </row>
    <row r="18" customFormat="false" ht="15" hidden="false" customHeight="false" outlineLevel="0" collapsed="false">
      <c r="A18" s="0" t="s">
        <v>45</v>
      </c>
      <c r="B18" s="0" t="s">
        <v>20</v>
      </c>
      <c r="C18" s="3" t="n">
        <v>1</v>
      </c>
      <c r="D18" s="5" t="s">
        <v>21</v>
      </c>
      <c r="E18" s="3" t="n">
        <v>2.07</v>
      </c>
      <c r="F18" s="3" t="n">
        <v>15.6</v>
      </c>
      <c r="G18" s="6" t="n">
        <f aca="false">E18*$B$4+F18/60*$B$5</f>
        <v>0.14275</v>
      </c>
      <c r="H18" s="6" t="n">
        <f aca="false">G18*C18</f>
        <v>0.14275</v>
      </c>
      <c r="I18" s="6" t="n">
        <f aca="false">G18</f>
        <v>0.14275</v>
      </c>
      <c r="J18" s="6" t="n">
        <f aca="false">G18</f>
        <v>0.14275</v>
      </c>
      <c r="K18" s="6" t="n">
        <f aca="false">G18</f>
        <v>0.14275</v>
      </c>
      <c r="L18" s="6" t="n">
        <f aca="false">K18*C18</f>
        <v>0.14275</v>
      </c>
      <c r="M18" s="5" t="s">
        <v>22</v>
      </c>
      <c r="N18" s="5" t="s">
        <v>23</v>
      </c>
      <c r="O18" s="5" t="s">
        <v>24</v>
      </c>
    </row>
    <row r="19" customFormat="false" ht="15" hidden="false" customHeight="false" outlineLevel="0" collapsed="false">
      <c r="A19" s="0" t="s">
        <v>46</v>
      </c>
      <c r="B19" s="0" t="s">
        <v>33</v>
      </c>
      <c r="C19" s="3" t="n">
        <v>1</v>
      </c>
      <c r="D19" s="5" t="s">
        <v>27</v>
      </c>
      <c r="G19" s="7" t="n">
        <v>0.04</v>
      </c>
      <c r="H19" s="6" t="n">
        <f aca="false">IF(D19="OWNED",0,G19*C19)</f>
        <v>0</v>
      </c>
      <c r="I19" s="7" t="n">
        <v>0.04</v>
      </c>
      <c r="J19" s="7" t="n">
        <v>0.03</v>
      </c>
      <c r="K19" s="7" t="n">
        <v>0.02</v>
      </c>
      <c r="L19" s="6" t="n">
        <f aca="false">K19*C19</f>
        <v>0.02</v>
      </c>
      <c r="M19" s="5" t="s">
        <v>47</v>
      </c>
      <c r="N19" s="5" t="s">
        <v>48</v>
      </c>
      <c r="O19" s="5" t="s">
        <v>36</v>
      </c>
    </row>
    <row r="20" customFormat="false" ht="15" hidden="false" customHeight="false" outlineLevel="0" collapsed="false">
      <c r="A20" s="8" t="s">
        <v>49</v>
      </c>
      <c r="E20" s="8" t="n">
        <f aca="false">SUM(E8:E19)</f>
        <v>35.15</v>
      </c>
      <c r="F20" s="8" t="n">
        <f aca="false">SUM(F8:F19)</f>
        <v>239.6</v>
      </c>
      <c r="H20" s="9" t="n">
        <f aca="false">SUM(H8:H19)</f>
        <v>2.27641666666667</v>
      </c>
      <c r="L20" s="9" t="n">
        <f aca="false">SUM(L8:L19)</f>
        <v>4.47641666666667</v>
      </c>
      <c r="M20" s="5" t="s">
        <v>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2026-10-03T17:13:57Z</dcterms:created>
  <dc:creator>openpyxl</dc:creator>
  <dc:description/>
  <dc:language>en-US</dc:language>
  <cp:lastModifiedBy/>
  <dcterms:modified xsi:type="dcterms:W3CDTF">2026-10-03T17:13:57Z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