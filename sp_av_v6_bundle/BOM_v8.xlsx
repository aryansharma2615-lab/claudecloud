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color rgb="000000FF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wrapText="1"/>
    </xf>
    <xf numFmtId="164" fontId="0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AV v8</author>
  </authors>
  <commentList>
    <comment ref="B4" authorId="0" shapeId="0">
      <text>
        <t>Source: Digitmakers.ca PETG 1 kg listing, $25 / kg (checked 2026-09-13)</t>
      </text>
    </comment>
    <comment ref="B5" authorId="0" shapeId="0">
      <text>
        <t>SP machine rate used by every SP AV (electricity + wear)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5" customWidth="1" min="3" max="3"/>
    <col width="9" customWidth="1" min="4" max="4"/>
    <col width="10" customWidth="1" min="5" max="5"/>
    <col width="1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0" customWidth="1" min="12" max="12"/>
    <col width="26" customWidth="1" min="13" max="13"/>
    <col width="44" customWidth="1" min="14" max="14"/>
    <col width="60" customWidth="1" min="15" max="15"/>
  </cols>
  <sheetData>
    <row r="1">
      <c r="A1" s="1" t="inlineStr">
        <is>
          <t>Shawarma Servo Mount v1 — BOM (AV v8)</t>
        </is>
      </c>
    </row>
    <row r="2">
      <c r="A2" s="2" t="inlineStr">
        <is>
          <t>Blue = input you can edit. Status OWNED = on the SP shelf: unit #1 costs $0, bulk columns stay priced for product maths.</t>
        </is>
      </c>
    </row>
    <row r="4">
      <c r="A4" t="inlineStr">
        <is>
          <t>PETG $/g</t>
        </is>
      </c>
      <c r="B4" s="3" t="n">
        <v>0.025</v>
      </c>
    </row>
    <row r="5">
      <c r="A5" t="inlineStr">
        <is>
          <t>Machine $/h</t>
        </is>
      </c>
      <c r="B5" s="3" t="n">
        <v>0.35</v>
      </c>
    </row>
    <row r="7">
      <c r="A7" s="4" t="inlineStr">
        <is>
          <t>Part</t>
        </is>
      </c>
      <c r="B7" s="4" t="inlineStr">
        <is>
          <t>Kind</t>
        </is>
      </c>
      <c r="C7" s="4" t="inlineStr">
        <is>
          <t>Qty</t>
        </is>
      </c>
      <c r="D7" s="4" t="inlineStr">
        <is>
          <t>Status</t>
        </is>
      </c>
      <c r="E7" s="4" t="inlineStr">
        <is>
          <t>Grams (SLICER)</t>
        </is>
      </c>
      <c r="F7" s="4" t="inlineStr">
        <is>
          <t>Print min (SLICER)</t>
        </is>
      </c>
      <c r="G7" s="4" t="inlineStr">
        <is>
          <t>Each (CAD $)</t>
        </is>
      </c>
      <c r="H7" s="4" t="inlineStr">
        <is>
          <t>Unit #1 out of pocket</t>
        </is>
      </c>
      <c r="I7" s="4" t="inlineStr">
        <is>
          <t>×10 each</t>
        </is>
      </c>
      <c r="J7" s="4" t="inlineStr">
        <is>
          <t>×50 each</t>
        </is>
      </c>
      <c r="K7" s="4" t="inlineStr">
        <is>
          <t>×100 each</t>
        </is>
      </c>
      <c r="L7" s="4" t="inlineStr">
        <is>
          <t>Line ×100</t>
        </is>
      </c>
      <c r="M7" s="4" t="inlineStr">
        <is>
          <t>Supplier</t>
        </is>
      </c>
      <c r="N7" s="4" t="inlineStr">
        <is>
          <t>Link</t>
        </is>
      </c>
      <c r="O7" s="4" t="inlineStr">
        <is>
          <t>Source / formula</t>
        </is>
      </c>
    </row>
    <row r="8">
      <c r="A8" t="inlineStr">
        <is>
          <t>Servo cradle</t>
        </is>
      </c>
      <c r="B8" t="inlineStr">
        <is>
          <t>printed</t>
        </is>
      </c>
      <c r="C8" s="3" t="n">
        <v>1</v>
      </c>
      <c r="D8" t="inlineStr">
        <is>
          <t>PRINT</t>
        </is>
      </c>
      <c r="E8" s="3" t="n">
        <v>15.63</v>
      </c>
      <c r="F8" s="3" t="n">
        <v>121.7</v>
      </c>
      <c r="G8" s="5">
        <f>E8*$B$4+F8/60*$B$5</f>
        <v/>
      </c>
      <c r="H8" s="5">
        <f>G8*C8</f>
        <v/>
      </c>
      <c r="I8" s="5">
        <f>G8</f>
        <v/>
      </c>
      <c r="J8" s="5">
        <f>G8</f>
        <v/>
      </c>
      <c r="K8" s="5">
        <f>G8</f>
        <v/>
      </c>
      <c r="L8" s="5">
        <f>K8*C8</f>
        <v/>
      </c>
      <c r="M8" t="inlineStr">
        <is>
          <t>Digitmakers.ca PETG</t>
        </is>
      </c>
      <c r="N8" t="inlineStr">
        <is>
          <t>https://www.digitmakers.ca/collections/petg-1-75-mm</t>
        </is>
      </c>
      <c r="O8" t="inlineStr">
        <is>
          <t>PrusaSlicer 2.7.2 CLI · Ender-3 S1 Pro profile · grams × $/g + minutes × $/h</t>
        </is>
      </c>
    </row>
    <row r="9">
      <c r="A9" t="inlineStr">
        <is>
          <t>M3×5.7 heat-set insert</t>
        </is>
      </c>
      <c r="B9" t="inlineStr">
        <is>
          <t>bought</t>
        </is>
      </c>
      <c r="C9" s="3" t="n">
        <v>1</v>
      </c>
      <c r="D9" t="inlineStr">
        <is>
          <t>OWNED</t>
        </is>
      </c>
      <c r="G9" s="6" t="n">
        <v>0.12</v>
      </c>
      <c r="H9" s="5">
        <f>IF(D9="OWNED",0,G9*C9)</f>
        <v/>
      </c>
      <c r="I9" s="6" t="n">
        <v>0.12</v>
      </c>
      <c r="J9" s="6" t="n">
        <v>0.1</v>
      </c>
      <c r="K9" s="6" t="n">
        <v>0.09</v>
      </c>
      <c r="L9" s="5">
        <f>K9*C9</f>
        <v/>
      </c>
      <c r="M9" t="inlineStr">
        <is>
          <t>Amazon.ca (ruthex RX-M3×5.7)</t>
        </is>
      </c>
      <c r="N9" t="inlineStr">
        <is>
          <t>https://www.amazon.ca/s?k=ruthex+m3+heat+set+inserts</t>
        </is>
      </c>
      <c r="O9" t="inlineStr">
        <is>
          <t>ruthex 100-pack ÷ 100</t>
        </is>
      </c>
    </row>
    <row r="10">
      <c r="A10" t="inlineStr">
        <is>
          <t>M3×5.7 heat-set insert</t>
        </is>
      </c>
      <c r="B10" t="inlineStr">
        <is>
          <t>bought</t>
        </is>
      </c>
      <c r="C10" s="3" t="n">
        <v>1</v>
      </c>
      <c r="D10" t="inlineStr">
        <is>
          <t>OWNED</t>
        </is>
      </c>
      <c r="G10" s="6" t="n">
        <v>0.12</v>
      </c>
      <c r="H10" s="5">
        <f>IF(D10="OWNED",0,G10*C10)</f>
        <v/>
      </c>
      <c r="I10" s="6" t="n">
        <v>0.12</v>
      </c>
      <c r="J10" s="6" t="n">
        <v>0.1</v>
      </c>
      <c r="K10" s="6" t="n">
        <v>0.09</v>
      </c>
      <c r="L10" s="5">
        <f>K10*C10</f>
        <v/>
      </c>
      <c r="M10" t="inlineStr">
        <is>
          <t>Amazon.ca (ruthex RX-M3×5.7)</t>
        </is>
      </c>
      <c r="N10" t="inlineStr">
        <is>
          <t>https://www.amazon.ca/s?k=ruthex+m3+heat+set+inserts</t>
        </is>
      </c>
      <c r="O10" t="inlineStr">
        <is>
          <t>ruthex 100-pack ÷ 100</t>
        </is>
      </c>
    </row>
    <row r="11">
      <c r="A11" t="inlineStr">
        <is>
          <t>Base plate</t>
        </is>
      </c>
      <c r="B11" t="inlineStr">
        <is>
          <t>printed</t>
        </is>
      </c>
      <c r="C11" s="3" t="n">
        <v>1</v>
      </c>
      <c r="D11" t="inlineStr">
        <is>
          <t>PRINT</t>
        </is>
      </c>
      <c r="E11" s="3" t="n">
        <v>9.43</v>
      </c>
      <c r="F11" s="3" t="n">
        <v>55</v>
      </c>
      <c r="G11" s="5">
        <f>E11*$B$4+F11/60*$B$5</f>
        <v/>
      </c>
      <c r="H11" s="5">
        <f>G11*C11</f>
        <v/>
      </c>
      <c r="I11" s="5">
        <f>G11</f>
        <v/>
      </c>
      <c r="J11" s="5">
        <f>G11</f>
        <v/>
      </c>
      <c r="K11" s="5">
        <f>G11</f>
        <v/>
      </c>
      <c r="L11" s="5">
        <f>K11*C11</f>
        <v/>
      </c>
      <c r="M11" t="inlineStr">
        <is>
          <t>Digitmakers.ca PETG</t>
        </is>
      </c>
      <c r="N11" t="inlineStr">
        <is>
          <t>https://www.digitmakers.ca/collections/petg-1-75-mm</t>
        </is>
      </c>
      <c r="O11" t="inlineStr">
        <is>
          <t>PrusaSlicer 2.7.2 CLI · Ender-3 S1 Pro profile · grams × $/g + minutes × $/h</t>
        </is>
      </c>
    </row>
    <row r="12">
      <c r="A12" t="inlineStr">
        <is>
          <t>M3×8 socket head</t>
        </is>
      </c>
      <c r="B12" t="inlineStr">
        <is>
          <t>screw</t>
        </is>
      </c>
      <c r="C12" s="3" t="n">
        <v>1</v>
      </c>
      <c r="D12" t="inlineStr">
        <is>
          <t>OWNED</t>
        </is>
      </c>
      <c r="G12" s="6" t="n">
        <v>0.05</v>
      </c>
      <c r="H12" s="5">
        <f>IF(D12="OWNED",0,G12*C12)</f>
        <v/>
      </c>
      <c r="I12" s="6" t="n">
        <v>0.05</v>
      </c>
      <c r="J12" s="6" t="n">
        <v>0.04</v>
      </c>
      <c r="K12" s="6" t="n">
        <v>0.03</v>
      </c>
      <c r="L12" s="5">
        <f>K12*C12</f>
        <v/>
      </c>
      <c r="M12" t="inlineStr">
        <is>
          <t>Amazon.ca (M3 kit)</t>
        </is>
      </c>
      <c r="N12" t="inlineStr">
        <is>
          <t>https://www.amazon.ca/s?k=m3+socket+head+screw+assortment+kit</t>
        </is>
      </c>
      <c r="O12" t="inlineStr">
        <is>
          <t>kit ÷ count</t>
        </is>
      </c>
    </row>
    <row r="13">
      <c r="A13" t="inlineStr">
        <is>
          <t>M3×8 socket head</t>
        </is>
      </c>
      <c r="B13" t="inlineStr">
        <is>
          <t>screw</t>
        </is>
      </c>
      <c r="C13" s="3" t="n">
        <v>1</v>
      </c>
      <c r="D13" t="inlineStr">
        <is>
          <t>OWNED</t>
        </is>
      </c>
      <c r="G13" s="6" t="n">
        <v>0.05</v>
      </c>
      <c r="H13" s="5">
        <f>IF(D13="OWNED",0,G13*C13)</f>
        <v/>
      </c>
      <c r="I13" s="6" t="n">
        <v>0.05</v>
      </c>
      <c r="J13" s="6" t="n">
        <v>0.04</v>
      </c>
      <c r="K13" s="6" t="n">
        <v>0.03</v>
      </c>
      <c r="L13" s="5">
        <f>K13*C13</f>
        <v/>
      </c>
      <c r="M13" t="inlineStr">
        <is>
          <t>Amazon.ca (M3 kit)</t>
        </is>
      </c>
      <c r="N13" t="inlineStr">
        <is>
          <t>https://www.amazon.ca/s?k=m3+socket+head+screw+assortment+kit</t>
        </is>
      </c>
      <c r="O13" t="inlineStr">
        <is>
          <t>kit ÷ count</t>
        </is>
      </c>
    </row>
    <row r="14">
      <c r="A14" t="inlineStr">
        <is>
          <t>SG90 micro servo</t>
        </is>
      </c>
      <c r="B14" t="inlineStr">
        <is>
          <t>bought</t>
        </is>
      </c>
      <c r="C14" s="3" t="n">
        <v>1</v>
      </c>
      <c r="D14" t="inlineStr">
        <is>
          <t>OWNED</t>
        </is>
      </c>
      <c r="G14" s="6" t="n">
        <v>4.49</v>
      </c>
      <c r="H14" s="5">
        <f>IF(D14="OWNED",0,G14*C14)</f>
        <v/>
      </c>
      <c r="I14" s="6" t="n">
        <v>2.4</v>
      </c>
      <c r="J14" s="6" t="n">
        <v>2.1</v>
      </c>
      <c r="K14" s="6" t="n">
        <v>1.9</v>
      </c>
      <c r="L14" s="5">
        <f>K14*C14</f>
        <v/>
      </c>
      <c r="M14" t="inlineStr">
        <is>
          <t>Canada Robotix</t>
        </is>
      </c>
      <c r="N14" t="inlineStr">
        <is>
          <t>https://www.canadarobotix.com/products/1713</t>
        </is>
      </c>
      <c r="O14" t="inlineStr">
        <is>
          <t>$4.49 single (listed). Bulk = 10-packs, estimated.</t>
        </is>
      </c>
    </row>
    <row r="15">
      <c r="A15" t="inlineStr">
        <is>
          <t>M2×8 self-tapper</t>
        </is>
      </c>
      <c r="B15" t="inlineStr">
        <is>
          <t>screw</t>
        </is>
      </c>
      <c r="C15" s="3" t="n">
        <v>1</v>
      </c>
      <c r="D15" t="inlineStr">
        <is>
          <t>OWNED</t>
        </is>
      </c>
      <c r="G15" s="6" t="n">
        <v>0</v>
      </c>
      <c r="H15" s="5">
        <f>IF(D15="OWNED",0,G15*C15)</f>
        <v/>
      </c>
      <c r="I15" s="6" t="n">
        <v>0.04</v>
      </c>
      <c r="J15" s="6" t="n">
        <v>0.03</v>
      </c>
      <c r="K15" s="6" t="n">
        <v>0.02</v>
      </c>
      <c r="L15" s="5">
        <f>K15*C15</f>
        <v/>
      </c>
      <c r="M15" t="inlineStr">
        <is>
          <t>in the servo bag</t>
        </is>
      </c>
      <c r="N15" t="inlineStr"/>
      <c r="O15" t="inlineStr">
        <is>
          <t>ships with each SG90</t>
        </is>
      </c>
    </row>
    <row r="16">
      <c r="A16" t="inlineStr">
        <is>
          <t>M2×8 self-tapper</t>
        </is>
      </c>
      <c r="B16" t="inlineStr">
        <is>
          <t>screw</t>
        </is>
      </c>
      <c r="C16" s="3" t="n">
        <v>1</v>
      </c>
      <c r="D16" t="inlineStr">
        <is>
          <t>OWNED</t>
        </is>
      </c>
      <c r="G16" s="6" t="n">
        <v>0</v>
      </c>
      <c r="H16" s="5">
        <f>IF(D16="OWNED",0,G16*C16)</f>
        <v/>
      </c>
      <c r="I16" s="6" t="n">
        <v>0.04</v>
      </c>
      <c r="J16" s="6" t="n">
        <v>0.03</v>
      </c>
      <c r="K16" s="6" t="n">
        <v>0.02</v>
      </c>
      <c r="L16" s="5">
        <f>K16*C16</f>
        <v/>
      </c>
      <c r="M16" t="inlineStr">
        <is>
          <t>in the servo bag</t>
        </is>
      </c>
      <c r="N16" t="inlineStr"/>
      <c r="O16" t="inlineStr">
        <is>
          <t>ships with each SG90</t>
        </is>
      </c>
    </row>
    <row r="17">
      <c r="A17" t="inlineStr">
        <is>
          <t>SG90 single horn</t>
        </is>
      </c>
      <c r="B17" t="inlineStr">
        <is>
          <t>bought</t>
        </is>
      </c>
      <c r="C17" s="3" t="n">
        <v>1</v>
      </c>
      <c r="D17" t="inlineStr">
        <is>
          <t>OWNED</t>
        </is>
      </c>
      <c r="G17" s="6" t="n">
        <v>0</v>
      </c>
      <c r="H17" s="5">
        <f>IF(D17="OWNED",0,G17*C17)</f>
        <v/>
      </c>
      <c r="I17" s="6" t="n">
        <v>0</v>
      </c>
      <c r="J17" s="6" t="n">
        <v>0</v>
      </c>
      <c r="K17" s="6" t="n">
        <v>0</v>
      </c>
      <c r="L17" s="5">
        <f>K17*C17</f>
        <v/>
      </c>
      <c r="M17" t="inlineStr">
        <is>
          <t>in the servo bag</t>
        </is>
      </c>
      <c r="N17" t="inlineStr"/>
      <c r="O17" t="inlineStr">
        <is>
          <t>ships with each SG90</t>
        </is>
      </c>
    </row>
    <row r="18">
      <c r="A18" t="inlineStr">
        <is>
          <t>Load arm</t>
        </is>
      </c>
      <c r="B18" t="inlineStr">
        <is>
          <t>printed</t>
        </is>
      </c>
      <c r="C18" s="3" t="n">
        <v>1</v>
      </c>
      <c r="D18" t="inlineStr">
        <is>
          <t>PRINT</t>
        </is>
      </c>
      <c r="E18" s="3" t="n">
        <v>2.07</v>
      </c>
      <c r="F18" s="3" t="n">
        <v>15.6</v>
      </c>
      <c r="G18" s="5">
        <f>E18*$B$4+F18/60*$B$5</f>
        <v/>
      </c>
      <c r="H18" s="5">
        <f>G18*C18</f>
        <v/>
      </c>
      <c r="I18" s="5">
        <f>G18</f>
        <v/>
      </c>
      <c r="J18" s="5">
        <f>G18</f>
        <v/>
      </c>
      <c r="K18" s="5">
        <f>G18</f>
        <v/>
      </c>
      <c r="L18" s="5">
        <f>K18*C18</f>
        <v/>
      </c>
      <c r="M18" t="inlineStr">
        <is>
          <t>Digitmakers.ca PETG</t>
        </is>
      </c>
      <c r="N18" t="inlineStr">
        <is>
          <t>https://www.digitmakers.ca/collections/petg-1-75-mm</t>
        </is>
      </c>
      <c r="O18" t="inlineStr">
        <is>
          <t>PrusaSlicer 2.7.2 CLI · Ender-3 S1 Pro profile · grams × $/g + minutes × $/h</t>
        </is>
      </c>
    </row>
    <row r="19">
      <c r="A19" t="inlineStr">
        <is>
          <t>M2×8 horn screw</t>
        </is>
      </c>
      <c r="B19" t="inlineStr">
        <is>
          <t>screw</t>
        </is>
      </c>
      <c r="C19" s="3" t="n">
        <v>1</v>
      </c>
      <c r="D19" t="inlineStr">
        <is>
          <t>OWNED</t>
        </is>
      </c>
      <c r="G19" s="6" t="n">
        <v>0.04</v>
      </c>
      <c r="H19" s="5">
        <f>IF(D19="OWNED",0,G19*C19)</f>
        <v/>
      </c>
      <c r="I19" s="6" t="n">
        <v>0.04</v>
      </c>
      <c r="J19" s="6" t="n">
        <v>0.03</v>
      </c>
      <c r="K19" s="6" t="n">
        <v>0.02</v>
      </c>
      <c r="L19" s="5">
        <f>K19*C19</f>
        <v/>
      </c>
      <c r="M19" t="inlineStr">
        <is>
          <t>Amazon.ca (M2 kit)</t>
        </is>
      </c>
      <c r="N19" t="inlineStr">
        <is>
          <t>https://www.amazon.ca/s?k=m2+self+tapping+screw+assortment</t>
        </is>
      </c>
      <c r="O19" t="inlineStr">
        <is>
          <t>kit ÷ count</t>
        </is>
      </c>
    </row>
    <row r="20">
      <c r="A20" s="7" t="inlineStr">
        <is>
          <t>Total</t>
        </is>
      </c>
      <c r="E20" s="7">
        <f>SUM(E8:E19)</f>
        <v/>
      </c>
      <c r="F20" s="7">
        <f>SUM(F8:F19)</f>
        <v/>
      </c>
      <c r="H20" s="8">
        <f>SUM(H8:H19)</f>
        <v/>
      </c>
      <c r="L20" s="8">
        <f>SUM(L8:L19)</f>
        <v/>
      </c>
      <c r="M20" t="inlineStr">
        <is>
          <t>unit #1 = filament + time only (all hardware owned)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2026-10-03T16:16:10Z</dcterms:created>
  <dcterms:modified xmlns:dcterms="http://purl.org/dc/terms/" xmlns:xsi="http://www.w3.org/2001/XMLSchema-instance" xsi:type="dcterms:W3CDTF">2026-10-03T16:16:11Z</dcterms:modified>
</cp:coreProperties>
</file>